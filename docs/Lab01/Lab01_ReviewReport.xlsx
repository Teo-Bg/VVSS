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acultate\Anul 3\Semestrul 2\VVSS\Lab01\CheckLists\"/>
    </mc:Choice>
  </mc:AlternateContent>
  <xr:revisionPtr revIDLastSave="0" documentId="13_ncr:1_{D27F7D29-2C68-49FB-83D0-0DE03118F998}" xr6:coauthVersionLast="47" xr6:coauthVersionMax="47" xr10:uidLastSave="{00000000-0000-0000-0000-000000000000}"/>
  <bookViews>
    <workbookView xWindow="-98" yWindow="-98" windowWidth="21795" windowHeight="13875" tabRatio="650" firstSheet="1" activeTab="1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<sst xmlns="http://schemas.openxmlformats.org/spreadsheetml/2006/main" count="206" uniqueCount="130">
  <si>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</si>
  <si>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</si>
  <si>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</si>
  <si>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</si>
  <si>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</si>
  <si>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</si>
  <si>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</si>
  <si>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</si>
  <si>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</si>
  <si>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</si>
  <si>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</si>
  <si>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</si>
  <si>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</si>
  <si>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</si>
  <si>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</si>
  <si>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</si>
  <si>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</si>
  <si>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</si>
  <si>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</si>
  <si>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</si>
  <si>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</si>
  <si>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</si>
  <si>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</si>
  <si>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</si>
  <si>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</si>
  <si>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</si>
  <si>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</si>
  <si>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</si>
  <si>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</si>
  <si>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</si>
  <si>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</si>
  <si>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</si>
  <si>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</si>
  <si>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Teodorescu Bogdan</t>
  </si>
  <si>
    <t>Alex Vladu</t>
  </si>
  <si>
    <t>237/1</t>
  </si>
  <si>
    <t>237/2</t>
  </si>
  <si>
    <t>R01</t>
  </si>
  <si>
    <t>R02</t>
  </si>
  <si>
    <t>R03</t>
  </si>
  <si>
    <t>R04</t>
  </si>
  <si>
    <t>R05</t>
  </si>
  <si>
    <t>R06</t>
  </si>
  <si>
    <t>R07</t>
  </si>
  <si>
    <t>Nu se precizează cum arată bonul de casă (ce conține, ce format exact CSV).</t>
  </si>
  <si>
    <t>CF7</t>
  </si>
  <si>
    <t>Conceptul de client este menționat dar nedefinit</t>
  </si>
  <si>
    <t>Introducere</t>
  </si>
  <si>
    <t>Validarea datelor – nicio regulă de validare</t>
  </si>
  <si>
    <t>CF1-CF8</t>
  </si>
  <si>
    <t>Căutare / filtrare produse – absentă</t>
  </si>
  <si>
    <t>CF1</t>
  </si>
  <si>
    <t>Corect</t>
  </si>
  <si>
    <t>Nu există cerință de date inițiale (tipuri, categorii, ingrediente predefinite)</t>
  </si>
  <si>
    <t>CF2</t>
  </si>
  <si>
    <t>Nu se specifică ce câmpuri sunt editabile la modificare</t>
  </si>
  <si>
    <t>CRUD descris generic, fără comportament exact al fiecărei operații</t>
  </si>
  <si>
    <t>Nu se definesc tipuri de utilizatori (casier, manager, admin)</t>
  </si>
  <si>
    <t>Nu se specifică locația fișierelor de date (director fix, configurabil?)</t>
  </si>
  <si>
    <t>CNF3</t>
  </si>
  <si>
    <t>CNF1</t>
  </si>
  <si>
    <t>Nu se specifică sistemul de operare țintă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</si>
  <si>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</si>
  <si>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</si>
  <si>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</si>
  <si>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</si>
  <si>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</si>
  <si>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</si>
  <si>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</si>
  <si>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</si>
  <si>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</si>
  <si>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CF3</t>
  </si>
  <si>
    <t>CategorieBautura and TipBautura are enums – they cannot be added/modified/deleted at runtime. No service or repository exists for them.</t>
  </si>
  <si>
    <t>UI controller catches exceptions only for missing product/quantity selection; all other exceptions (parse errors, null references) are uncaught. Validators are present but never used.</t>
  </si>
  <si>
    <t>A10</t>
  </si>
  <si>
    <t>Teodoresu Bogdan</t>
  </si>
  <si>
    <t>C03</t>
  </si>
  <si>
    <t>DrinkShopService.comandaProdus()</t>
  </si>
  <si>
    <t>C01</t>
  </si>
  <si>
    <t>C02</t>
  </si>
  <si>
    <t>C04</t>
  </si>
  <si>
    <t>C05</t>
  </si>
  <si>
    <t>C06</t>
  </si>
  <si>
    <t>C07</t>
  </si>
  <si>
    <t>C08</t>
  </si>
  <si>
    <t>C09</t>
  </si>
  <si>
    <t>findById() returnează null dacă produsul nu are o rețetă asociată. Nu există niciun null-check înainte de a folosi rezultatul, ceea ce provoacă NullPointerException la runtime.</t>
  </si>
  <si>
    <t>RetetaValidator.validate()</t>
  </si>
  <si>
    <t>Ramura if (ingrediente == null ...) adaugă un mesaj de eroare dar nu oprește execuția. Linia imediat următoare apelează ingrediente.stream() care va arunca NullPointerException dacă ingrediente este null.</t>
  </si>
  <si>
    <t>Nu s-au identificat probleme la terminarea buclelor.</t>
  </si>
  <si>
    <t>FileStocRepository</t>
  </si>
  <si>
    <t>Inconsistența delimitatorilor între repository-uri face formatele de fișiere incompatibile și îngreunează procesarea externă.</t>
  </si>
  <si>
    <t>Clasele OrderValidator, ProductValidator, RetetaValidator, StocValidator, OrderItemValidator sunt implementate corect, dar nicio clasă de serviciu nu le apelează. Serviciile OrderService, ProductService, RetetaService, StocService nu conțin nicio apelare la validate().</t>
  </si>
  <si>
    <t>DrinkShopController</t>
  </si>
  <si>
    <t>Niciun try-catch sau validare prealabilă. Dacă utilizatorul introduce text non-numeric, aplicația aruncă NumberFormatException necapturat, fără feedback vizual.</t>
  </si>
  <si>
    <t>La pornirea aplicației, dacă există deja o comandă cu ID=1 în fișierul orders.txt, aceasta va fi suprascrisă când utilizatorul finalizează prima comandă.</t>
  </si>
  <si>
    <t>Order</t>
  </si>
  <si>
    <t>Același câmp este expus prin două metode diferite, creând ambiguitate. DailyReportService folosește Order::getTotal iar ReceiptGenerator folosește o.getTotalPrice().</t>
  </si>
  <si>
    <t>DrinkShopController.onAddProduct()</t>
  </si>
  <si>
    <t>O condiție de eroare (rețetă neselectată) folosește INFORMATION în loc de ERROR sau WARNING, transmițând un semnal vizual incorect utilizatorului.</t>
  </si>
  <si>
    <t>DrinkShopService</t>
  </si>
  <si>
    <t>Parametrul se numește stocService (convenție de serviciu) deși este un Repository. Toate celelalte urmează convenția ...Repo. Linia de atribuire arată ca o autoatribuire.</t>
  </si>
  <si>
    <t>C10</t>
  </si>
  <si>
    <t>C11</t>
  </si>
  <si>
    <t>Stoc</t>
  </si>
  <si>
    <t>C12</t>
  </si>
  <si>
    <t>Câmpurile sunt double dar constructorul și setterul acceptă int. Aceasta creează o inconsistență semantică: dacă cantitate trebuie să suporte valori fracționare (ex. 2.5L), constructorul nu permite asta direct.</t>
  </si>
  <si>
    <t>Roundtrip-ul fișier → obiect → fișier este rupt: getCantitate() scrie double (5.0), dar Integer.parseInt nu poate citi "5.0", cauzând NumberFormatException la fiecare pornire a aplicației dacă stocurile au fost modificate.</t>
  </si>
  <si>
    <t>Teodorescu Bogdan, Alex Vladu</t>
  </si>
  <si>
    <t>SonarQube for IDE</t>
  </si>
  <si>
    <t>Save and Update have the same implementation</t>
  </si>
  <si>
    <t>duplicated logic</t>
  </si>
  <si>
    <t>refactoring into one function: Save</t>
  </si>
  <si>
    <t>CsvExporter</t>
  </si>
  <si>
    <t>AbstractRepository, line 26</t>
  </si>
  <si>
    <t>Needs a private constructor to hide the implicit public one</t>
  </si>
  <si>
    <t>no constructor at all</t>
  </si>
  <si>
    <t>new private constructor</t>
  </si>
  <si>
    <t>FileAbstractRepository, line 15</t>
  </si>
  <si>
    <t>it's recommended to change the visibility of the constructor</t>
  </si>
  <si>
    <t>public constructor</t>
  </si>
  <si>
    <t>protected constructor</t>
  </si>
  <si>
    <t>OrderValidator, line 25</t>
  </si>
  <si>
    <t>requiers StringBuilder for error messages</t>
  </si>
  <si>
    <t>"+=" used to add more errors to the error message</t>
  </si>
  <si>
    <t>Error message created with StringBuilder</t>
  </si>
  <si>
    <t>FileOrderRepository</t>
  </si>
  <si>
    <t>sb.length() &gt; 0</t>
  </si>
  <si>
    <t>isEmpty()</t>
  </si>
  <si>
    <t>More readable way of cheking if a string is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</si>
</sst>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6" fillId="0" borderId="1" xfId="0" applyFont="1" applyBorder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7" fillId="3" borderId="1" xfId="0" applyFont="1" applyFill="1" applyBorder="1"/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7" fillId="2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4" borderId="1" xfId="0" applyFont="1" applyFill="1" applyBorder="1"/>
    <xf numFmtId="0" fontId="5" fillId="0" borderId="1" xfId="0" applyFont="1" applyBorder="1"/>
    <xf numFmtId="0" fontId="8" fillId="0" borderId="0" xfId="0" applyFont="1"/>
    <xf numFmtId="0" fontId="4" fillId="0" borderId="1" xfId="0" applyFont="1" applyBorder="1"/>
    <xf numFmtId="0" fontId="3" fillId="0" borderId="0" xfId="0" applyFont="1"/>
    <xf numFmtId="0" fontId="2" fillId="0" borderId="0" xfId="0" applyFont="1"/>
    <xf numFmtId="0" fontId="7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right"/>
    </xf>
    <xf numFmtId="0" fontId="11" fillId="2" borderId="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11" fillId="3" borderId="2" xfId="0" applyFont="1" applyFill="1" applyBorder="1" applyAlignment="1">
      <alignment horizontal="right"/>
    </xf>
    <xf numFmtId="0" fontId="11" fillId="3" borderId="4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11" fillId="4" borderId="2" xfId="0" applyFont="1" applyFill="1" applyBorder="1" applyAlignment="1">
      <alignment horizontal="right"/>
    </xf>
    <xf numFmtId="0" fontId="11" fillId="4" borderId="4" xfId="0" applyFont="1" applyFill="1" applyBorder="1" applyAlignment="1">
      <alignment horizontal="right"/>
    </xf>
    <xf numFmtId="0" fontId="7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" fillId="0" borderId="1" xfId="0" applyFont="1" applyBorder="1"/>
    <xf numFmtId="0" fontId="12" fillId="0" borderId="0" xfId="0" applyFont="1" applyAlignment="1">
      <alignment vertical="center"/>
    </xf>
    <xf numFmtId="20" fontId="8" fillId="0" borderId="1" xfId="0" applyNumberFormat="1" applyFont="1" applyBorder="1"/>
    <xf numFmtId="14" fontId="7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topLeftCell="C6" workbookViewId="0">
      <selection activeCell="E28" sqref="E28"/>
    </sheetView>
  </sheetViews>
  <sheetFormatPr defaultColWidth="8.9296875" defaultRowHeight="14.25" x14ac:dyDescent="0.45"/>
  <cols>
    <col min="1" max="1" width="8.9296875" style="6"/>
    <col min="2" max="2" width="12.265625" style="6" customWidth="1"/>
    <col min="3" max="4" width="16.265625" style="6" customWidth="1"/>
    <col min="5" max="5" width="41.46484375" style="6" customWidth="1"/>
    <col min="6" max="8" width="8.9296875" style="6"/>
    <col min="9" max="9" width="21" style="6" customWidth="1"/>
    <col min="10" max="10" width="14.46484375" style="6" customWidth="1"/>
    <col min="11" max="16384" width="8.9296875" style="6"/>
  </cols>
  <sheetData>
    <row r="1" spans="1:10" ht="15.75" x14ac:dyDescent="0.5">
      <c r="A1" s="4"/>
      <c r="B1" s="5" t="s">
        <v>3</v>
      </c>
      <c r="H1" s="23" t="s">
        <v>23</v>
      </c>
      <c r="I1" s="23"/>
      <c r="J1" s="23"/>
    </row>
    <row r="2" spans="1:10" x14ac:dyDescent="0.45">
      <c r="B2" s="24" t="s">
        <v>19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45">
      <c r="H3" s="17" t="s">
        <v>20</v>
      </c>
      <c r="I3" s="36" t="s">
        <v>33</v>
      </c>
      <c r="J3" s="36" t="s">
        <v>35</v>
      </c>
    </row>
    <row r="4" spans="1:10" x14ac:dyDescent="0.45">
      <c r="C4" s="13" t="s">
        <v>0</v>
      </c>
      <c r="D4" s="25" t="s">
        <v>14</v>
      </c>
      <c r="E4" s="25"/>
      <c r="H4" s="17" t="s">
        <v>21</v>
      </c>
      <c r="I4" s="36" t="s">
        <v>34</v>
      </c>
      <c r="J4" s="36" t="s">
        <v>36</v>
      </c>
    </row>
    <row r="5" spans="1:10" x14ac:dyDescent="0.45">
      <c r="C5" s="13" t="s">
        <v>9</v>
      </c>
      <c r="D5" s="26" t="s">
        <v>13</v>
      </c>
      <c r="E5" s="27"/>
      <c r="H5" s="17" t="s">
        <v>22</v>
      </c>
      <c r="I5" s="3"/>
      <c r="J5" s="3"/>
    </row>
    <row r="6" spans="1:10" x14ac:dyDescent="0.45">
      <c r="B6" s="8"/>
      <c r="C6" s="9" t="s">
        <v>2</v>
      </c>
      <c r="D6" s="22" t="s">
        <v>108</v>
      </c>
      <c r="E6" s="22"/>
    </row>
    <row r="7" spans="1:10" x14ac:dyDescent="0.45">
      <c r="C7" s="9" t="s">
        <v>1</v>
      </c>
      <c r="D7" s="39">
        <v>46206</v>
      </c>
      <c r="E7" s="22"/>
    </row>
    <row r="9" spans="1:10" x14ac:dyDescent="0.45">
      <c r="B9" s="10" t="s">
        <v>4</v>
      </c>
      <c r="C9" s="10" t="s">
        <v>5</v>
      </c>
      <c r="D9" s="10" t="s">
        <v>6</v>
      </c>
      <c r="E9" s="14" t="s">
        <v>7</v>
      </c>
    </row>
    <row r="10" spans="1:10" ht="15.75" x14ac:dyDescent="0.45">
      <c r="B10" s="3">
        <v>1</v>
      </c>
      <c r="C10" s="1" t="s">
        <v>37</v>
      </c>
      <c r="D10" s="1" t="s">
        <v>45</v>
      </c>
      <c r="E10" s="37" t="s">
        <v>44</v>
      </c>
    </row>
    <row r="11" spans="1:10" x14ac:dyDescent="0.45">
      <c r="B11" s="3">
        <f>B10+1</f>
        <v>2</v>
      </c>
      <c r="C11" s="1" t="s">
        <v>37</v>
      </c>
      <c r="D11" s="1" t="s">
        <v>47</v>
      </c>
      <c r="E11" s="2" t="s">
        <v>46</v>
      </c>
    </row>
    <row r="12" spans="1:10" x14ac:dyDescent="0.45">
      <c r="B12" s="3">
        <f t="shared" ref="B12:B25" si="0">B11+1</f>
        <v>3</v>
      </c>
      <c r="C12" s="1" t="s">
        <v>38</v>
      </c>
      <c r="D12" s="1" t="s">
        <v>49</v>
      </c>
      <c r="E12" s="2" t="s">
        <v>48</v>
      </c>
    </row>
    <row r="13" spans="1:10" x14ac:dyDescent="0.45">
      <c r="B13" s="3">
        <f t="shared" si="0"/>
        <v>4</v>
      </c>
      <c r="C13" s="1" t="s">
        <v>38</v>
      </c>
      <c r="D13" s="1" t="s">
        <v>51</v>
      </c>
      <c r="E13" s="2" t="s">
        <v>50</v>
      </c>
    </row>
    <row r="14" spans="1:10" x14ac:dyDescent="0.45">
      <c r="B14" s="3">
        <f t="shared" si="0"/>
        <v>5</v>
      </c>
      <c r="C14" s="1" t="s">
        <v>39</v>
      </c>
      <c r="D14" s="1"/>
      <c r="E14" s="2" t="s">
        <v>52</v>
      </c>
    </row>
    <row r="15" spans="1:10" ht="28.5" x14ac:dyDescent="0.45">
      <c r="B15" s="3">
        <f t="shared" si="0"/>
        <v>6</v>
      </c>
      <c r="C15" s="1" t="s">
        <v>40</v>
      </c>
      <c r="D15" s="1" t="s">
        <v>54</v>
      </c>
      <c r="E15" s="2" t="s">
        <v>53</v>
      </c>
    </row>
    <row r="16" spans="1:10" ht="28.5" x14ac:dyDescent="0.45">
      <c r="B16" s="3">
        <f t="shared" si="0"/>
        <v>7</v>
      </c>
      <c r="C16" s="1" t="s">
        <v>41</v>
      </c>
      <c r="D16" s="1" t="s">
        <v>51</v>
      </c>
      <c r="E16" s="2" t="s">
        <v>55</v>
      </c>
    </row>
    <row r="17" spans="2:5" ht="28.5" x14ac:dyDescent="0.45">
      <c r="B17" s="3">
        <f t="shared" si="0"/>
        <v>8</v>
      </c>
      <c r="C17" s="1" t="s">
        <v>41</v>
      </c>
      <c r="D17" s="1" t="s">
        <v>51</v>
      </c>
      <c r="E17" s="2" t="s">
        <v>56</v>
      </c>
    </row>
    <row r="18" spans="2:5" ht="28.5" x14ac:dyDescent="0.45">
      <c r="B18" s="3">
        <f t="shared" si="0"/>
        <v>9</v>
      </c>
      <c r="C18" s="36" t="s">
        <v>42</v>
      </c>
      <c r="D18" s="36" t="s">
        <v>49</v>
      </c>
      <c r="E18" s="15" t="s">
        <v>57</v>
      </c>
    </row>
    <row r="19" spans="2:5" ht="28.5" x14ac:dyDescent="0.45">
      <c r="B19" s="3">
        <f t="shared" si="0"/>
        <v>10</v>
      </c>
      <c r="C19" s="36" t="s">
        <v>43</v>
      </c>
      <c r="D19" s="36" t="s">
        <v>59</v>
      </c>
      <c r="E19" s="15" t="s">
        <v>58</v>
      </c>
    </row>
    <row r="20" spans="2:5" x14ac:dyDescent="0.45">
      <c r="B20" s="3">
        <f t="shared" si="0"/>
        <v>11</v>
      </c>
      <c r="C20" s="36" t="s">
        <v>43</v>
      </c>
      <c r="D20" s="36" t="s">
        <v>60</v>
      </c>
      <c r="E20" s="15" t="s">
        <v>61</v>
      </c>
    </row>
    <row r="21" spans="2:5" x14ac:dyDescent="0.45">
      <c r="B21" s="3">
        <f t="shared" si="0"/>
        <v>12</v>
      </c>
      <c r="C21" s="3"/>
      <c r="D21" s="3"/>
      <c r="E21" s="15"/>
    </row>
    <row r="22" spans="2:5" x14ac:dyDescent="0.45">
      <c r="B22" s="3">
        <f t="shared" si="0"/>
        <v>13</v>
      </c>
      <c r="C22" s="3"/>
      <c r="D22" s="3"/>
      <c r="E22" s="15"/>
    </row>
    <row r="23" spans="2:5" x14ac:dyDescent="0.45">
      <c r="B23" s="3">
        <f t="shared" si="0"/>
        <v>14</v>
      </c>
      <c r="C23" s="3"/>
      <c r="D23" s="3"/>
      <c r="E23" s="15"/>
    </row>
    <row r="24" spans="2:5" x14ac:dyDescent="0.45">
      <c r="B24" s="3">
        <f t="shared" si="0"/>
        <v>15</v>
      </c>
      <c r="C24" s="3"/>
      <c r="D24" s="3"/>
      <c r="E24" s="15"/>
    </row>
    <row r="25" spans="2:5" x14ac:dyDescent="0.45">
      <c r="B25" s="3">
        <f t="shared" si="0"/>
        <v>16</v>
      </c>
      <c r="C25" s="3"/>
      <c r="D25" s="3"/>
      <c r="E25" s="15"/>
    </row>
    <row r="27" spans="2:5" x14ac:dyDescent="0.45">
      <c r="C27" s="11" t="s">
        <v>8</v>
      </c>
      <c r="D27" s="12"/>
      <c r="E27" s="38">
        <v>4.8611111111111112E-2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tabSelected="1" topLeftCell="B1" workbookViewId="0">
      <selection activeCell="E28" sqref="E28"/>
    </sheetView>
  </sheetViews>
  <sheetFormatPr defaultColWidth="8.9296875" defaultRowHeight="14.25" x14ac:dyDescent="0.45"/>
  <cols>
    <col min="1" max="1" width="8.9296875" style="6"/>
    <col min="2" max="2" width="12.265625" style="6" customWidth="1"/>
    <col min="3" max="4" width="16.265625" style="6" customWidth="1"/>
    <col min="5" max="5" width="41.46484375" style="6" customWidth="1"/>
    <col min="6" max="8" width="8.9296875" style="6"/>
    <col min="9" max="9" width="22.06640625" style="6" customWidth="1"/>
    <col min="10" max="16384" width="8.9296875" style="6"/>
  </cols>
  <sheetData>
    <row r="1" spans="1:10" ht="15.75" x14ac:dyDescent="0.5">
      <c r="A1" s="4"/>
      <c r="B1" s="5" t="s">
        <v>3</v>
      </c>
      <c r="H1" s="23" t="s">
        <v>23</v>
      </c>
      <c r="I1" s="23"/>
      <c r="J1" s="23"/>
    </row>
    <row r="2" spans="1:10" x14ac:dyDescent="0.45">
      <c r="B2" s="24" t="s">
        <v>18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45">
      <c r="H3" s="17" t="s">
        <v>20</v>
      </c>
      <c r="I3" s="36" t="s">
        <v>33</v>
      </c>
      <c r="J3" s="36" t="s">
        <v>35</v>
      </c>
    </row>
    <row r="4" spans="1:10" x14ac:dyDescent="0.45">
      <c r="C4" s="7" t="s">
        <v>0</v>
      </c>
      <c r="D4" s="28" t="s">
        <v>15</v>
      </c>
      <c r="E4" s="28"/>
      <c r="H4" s="17" t="s">
        <v>21</v>
      </c>
      <c r="I4" s="36" t="s">
        <v>34</v>
      </c>
      <c r="J4" s="36" t="s">
        <v>36</v>
      </c>
    </row>
    <row r="5" spans="1:10" x14ac:dyDescent="0.45">
      <c r="C5" s="7" t="s">
        <v>10</v>
      </c>
      <c r="D5" s="29" t="s">
        <v>12</v>
      </c>
      <c r="E5" s="30"/>
      <c r="H5" s="17" t="s">
        <v>22</v>
      </c>
      <c r="I5" s="3"/>
      <c r="J5" s="3"/>
    </row>
    <row r="6" spans="1:10" x14ac:dyDescent="0.45">
      <c r="B6" s="8"/>
      <c r="C6" s="9" t="s">
        <v>2</v>
      </c>
      <c r="D6" s="22" t="s">
        <v>108</v>
      </c>
      <c r="E6" s="22"/>
    </row>
    <row r="7" spans="1:10" x14ac:dyDescent="0.45">
      <c r="C7" s="9" t="s">
        <v>1</v>
      </c>
      <c r="D7" s="39">
        <v>46206</v>
      </c>
      <c r="E7" s="22"/>
    </row>
    <row r="9" spans="1:10" x14ac:dyDescent="0.45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45">
      <c r="B10" s="3">
        <v>1</v>
      </c>
      <c r="C10" s="1" t="s">
        <v>62</v>
      </c>
      <c r="D10" s="2"/>
      <c r="E10" s="2" t="s">
        <v>52</v>
      </c>
    </row>
    <row r="11" spans="1:10" x14ac:dyDescent="0.45">
      <c r="B11" s="3">
        <f>B10+1</f>
        <v>2</v>
      </c>
      <c r="C11" s="1" t="s">
        <v>63</v>
      </c>
      <c r="D11" s="2"/>
      <c r="E11" s="2" t="s">
        <v>52</v>
      </c>
    </row>
    <row r="12" spans="1:10" ht="42.75" x14ac:dyDescent="0.45">
      <c r="B12" s="3">
        <f t="shared" ref="B12:B26" si="0">B11+1</f>
        <v>3</v>
      </c>
      <c r="C12" s="1" t="s">
        <v>64</v>
      </c>
      <c r="D12" s="1" t="s">
        <v>71</v>
      </c>
      <c r="E12" s="2" t="s">
        <v>72</v>
      </c>
    </row>
    <row r="13" spans="1:10" x14ac:dyDescent="0.45">
      <c r="B13" s="3">
        <f t="shared" si="0"/>
        <v>4</v>
      </c>
      <c r="C13" s="1" t="s">
        <v>65</v>
      </c>
      <c r="D13" s="1"/>
      <c r="E13" s="2" t="s">
        <v>52</v>
      </c>
    </row>
    <row r="14" spans="1:10" ht="57" x14ac:dyDescent="0.45">
      <c r="B14" s="3">
        <f t="shared" si="0"/>
        <v>5</v>
      </c>
      <c r="C14" s="1" t="s">
        <v>66</v>
      </c>
      <c r="D14" s="2"/>
      <c r="E14" s="2" t="s">
        <v>73</v>
      </c>
    </row>
    <row r="15" spans="1:10" x14ac:dyDescent="0.45">
      <c r="B15" s="3">
        <f t="shared" si="0"/>
        <v>6</v>
      </c>
      <c r="C15" s="1" t="s">
        <v>67</v>
      </c>
      <c r="D15" s="1"/>
      <c r="E15" s="2" t="s">
        <v>52</v>
      </c>
    </row>
    <row r="16" spans="1:10" x14ac:dyDescent="0.45">
      <c r="B16" s="3">
        <f t="shared" si="0"/>
        <v>7</v>
      </c>
      <c r="C16" s="1" t="s">
        <v>68</v>
      </c>
      <c r="D16" s="2"/>
      <c r="E16" s="2" t="s">
        <v>52</v>
      </c>
    </row>
    <row r="17" spans="2:5" x14ac:dyDescent="0.45">
      <c r="B17" s="3">
        <f t="shared" si="0"/>
        <v>8</v>
      </c>
      <c r="C17" s="1" t="s">
        <v>69</v>
      </c>
      <c r="D17" s="2"/>
      <c r="E17" s="2" t="s">
        <v>52</v>
      </c>
    </row>
    <row r="18" spans="2:5" x14ac:dyDescent="0.45">
      <c r="B18" s="3">
        <f t="shared" si="0"/>
        <v>9</v>
      </c>
      <c r="C18" s="1" t="s">
        <v>70</v>
      </c>
      <c r="D18" s="1"/>
      <c r="E18" s="2" t="s">
        <v>52</v>
      </c>
    </row>
    <row r="19" spans="2:5" x14ac:dyDescent="0.45">
      <c r="B19" s="3">
        <f t="shared" si="0"/>
        <v>10</v>
      </c>
      <c r="C19" s="1" t="s">
        <v>74</v>
      </c>
      <c r="D19" s="2"/>
      <c r="E19" s="2" t="s">
        <v>52</v>
      </c>
    </row>
    <row r="20" spans="2:5" x14ac:dyDescent="0.45">
      <c r="B20" s="3">
        <f t="shared" si="0"/>
        <v>11</v>
      </c>
      <c r="C20" s="1"/>
      <c r="D20" s="1"/>
      <c r="E20" s="2"/>
    </row>
    <row r="21" spans="2:5" x14ac:dyDescent="0.45">
      <c r="B21" s="3">
        <f t="shared" si="0"/>
        <v>12</v>
      </c>
      <c r="C21" s="1"/>
      <c r="D21" s="1"/>
      <c r="E21" s="2"/>
    </row>
    <row r="22" spans="2:5" x14ac:dyDescent="0.45">
      <c r="B22" s="3">
        <f t="shared" si="0"/>
        <v>13</v>
      </c>
      <c r="C22" s="1"/>
      <c r="D22" s="1"/>
      <c r="E22" s="2"/>
    </row>
    <row r="23" spans="2:5" x14ac:dyDescent="0.45">
      <c r="B23" s="3">
        <f t="shared" si="0"/>
        <v>14</v>
      </c>
      <c r="C23" s="1"/>
      <c r="D23" s="1"/>
      <c r="E23" s="2"/>
    </row>
    <row r="24" spans="2:5" x14ac:dyDescent="0.45">
      <c r="B24" s="3">
        <f t="shared" si="0"/>
        <v>15</v>
      </c>
      <c r="C24" s="1"/>
      <c r="D24" s="1"/>
      <c r="E24" s="2"/>
    </row>
    <row r="25" spans="2:5" x14ac:dyDescent="0.45">
      <c r="B25" s="3">
        <f t="shared" si="0"/>
        <v>16</v>
      </c>
      <c r="C25" s="1"/>
      <c r="D25" s="1"/>
      <c r="E25" s="2"/>
    </row>
    <row r="26" spans="2:5" x14ac:dyDescent="0.45">
      <c r="B26" s="3">
        <f t="shared" si="0"/>
        <v>17</v>
      </c>
      <c r="C26" s="1"/>
      <c r="D26" s="1"/>
      <c r="E26" s="2"/>
    </row>
    <row r="28" spans="2:5" x14ac:dyDescent="0.45">
      <c r="C28" s="11" t="s">
        <v>8</v>
      </c>
      <c r="D28" s="12"/>
      <c r="E28" s="1">
        <v>0.8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workbookViewId="0">
      <selection activeCell="E32" sqref="E32"/>
    </sheetView>
  </sheetViews>
  <sheetFormatPr defaultColWidth="8.9296875" defaultRowHeight="14.25" x14ac:dyDescent="0.45"/>
  <cols>
    <col min="1" max="1" width="8.9296875" style="6"/>
    <col min="2" max="2" width="12.265625" style="6" customWidth="1"/>
    <col min="3" max="3" width="16.265625" style="6" customWidth="1"/>
    <col min="4" max="4" width="18" style="6" customWidth="1"/>
    <col min="5" max="5" width="41.46484375" style="6" customWidth="1"/>
    <col min="6" max="8" width="8.9296875" style="6"/>
    <col min="9" max="9" width="26.73046875" style="6" customWidth="1"/>
    <col min="10" max="16384" width="8.9296875" style="6"/>
  </cols>
  <sheetData>
    <row r="1" spans="1:10" ht="15.75" x14ac:dyDescent="0.5">
      <c r="A1" s="4"/>
      <c r="B1" s="5" t="s">
        <v>3</v>
      </c>
      <c r="H1" s="23" t="s">
        <v>23</v>
      </c>
      <c r="I1" s="23"/>
      <c r="J1" s="23"/>
    </row>
    <row r="2" spans="1:10" x14ac:dyDescent="0.45">
      <c r="B2" s="24" t="s">
        <v>17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45">
      <c r="H3" s="17" t="s">
        <v>20</v>
      </c>
      <c r="I3" s="36" t="s">
        <v>75</v>
      </c>
      <c r="J3" s="36" t="s">
        <v>35</v>
      </c>
    </row>
    <row r="4" spans="1:10" x14ac:dyDescent="0.45">
      <c r="C4" s="16" t="s">
        <v>0</v>
      </c>
      <c r="D4" s="31" t="s">
        <v>16</v>
      </c>
      <c r="E4" s="31"/>
      <c r="H4" s="17" t="s">
        <v>21</v>
      </c>
      <c r="I4" s="36" t="s">
        <v>34</v>
      </c>
      <c r="J4" s="36" t="s">
        <v>36</v>
      </c>
    </row>
    <row r="5" spans="1:10" x14ac:dyDescent="0.45">
      <c r="C5" s="16" t="s">
        <v>9</v>
      </c>
      <c r="D5" s="32" t="s">
        <v>11</v>
      </c>
      <c r="E5" s="33"/>
      <c r="H5" s="17" t="s">
        <v>22</v>
      </c>
      <c r="I5" s="3"/>
      <c r="J5" s="3"/>
    </row>
    <row r="6" spans="1:10" x14ac:dyDescent="0.45">
      <c r="B6" s="8"/>
      <c r="C6" s="9" t="s">
        <v>2</v>
      </c>
      <c r="D6" s="22" t="s">
        <v>108</v>
      </c>
      <c r="E6" s="22"/>
    </row>
    <row r="7" spans="1:10" x14ac:dyDescent="0.45">
      <c r="C7" s="9" t="s">
        <v>1</v>
      </c>
      <c r="D7" s="39">
        <v>46206</v>
      </c>
      <c r="E7" s="22"/>
    </row>
    <row r="9" spans="1:10" x14ac:dyDescent="0.45">
      <c r="B9" s="10" t="s">
        <v>4</v>
      </c>
      <c r="C9" s="10" t="s">
        <v>5</v>
      </c>
      <c r="D9" s="10" t="s">
        <v>6</v>
      </c>
      <c r="E9" s="10" t="s">
        <v>7</v>
      </c>
    </row>
    <row r="10" spans="1:10" ht="57" x14ac:dyDescent="0.45">
      <c r="B10" s="3">
        <v>1</v>
      </c>
      <c r="C10" s="1" t="s">
        <v>78</v>
      </c>
      <c r="D10" s="2" t="s">
        <v>77</v>
      </c>
      <c r="E10" s="2" t="s">
        <v>86</v>
      </c>
    </row>
    <row r="11" spans="1:10" ht="85.5" x14ac:dyDescent="0.45">
      <c r="B11" s="3">
        <f>B10+1</f>
        <v>2</v>
      </c>
      <c r="C11" s="1" t="s">
        <v>79</v>
      </c>
      <c r="D11" s="1" t="s">
        <v>87</v>
      </c>
      <c r="E11" s="2" t="s">
        <v>88</v>
      </c>
    </row>
    <row r="12" spans="1:10" ht="28.5" x14ac:dyDescent="0.45">
      <c r="B12" s="3">
        <f t="shared" ref="B12:B30" si="0">B11+1</f>
        <v>3</v>
      </c>
      <c r="C12" s="1" t="s">
        <v>76</v>
      </c>
      <c r="D12" s="1"/>
      <c r="E12" s="2" t="s">
        <v>89</v>
      </c>
    </row>
    <row r="13" spans="1:10" ht="42.75" x14ac:dyDescent="0.45">
      <c r="B13" s="3">
        <f t="shared" si="0"/>
        <v>4</v>
      </c>
      <c r="C13" s="1" t="s">
        <v>80</v>
      </c>
      <c r="D13" s="2" t="s">
        <v>90</v>
      </c>
      <c r="E13" s="2" t="s">
        <v>91</v>
      </c>
    </row>
    <row r="14" spans="1:10" ht="99.75" x14ac:dyDescent="0.45">
      <c r="B14" s="3">
        <f t="shared" si="0"/>
        <v>5</v>
      </c>
      <c r="C14" s="1" t="s">
        <v>81</v>
      </c>
      <c r="D14" s="2"/>
      <c r="E14" s="2" t="s">
        <v>92</v>
      </c>
    </row>
    <row r="15" spans="1:10" ht="57" x14ac:dyDescent="0.45">
      <c r="B15" s="3">
        <f t="shared" si="0"/>
        <v>6</v>
      </c>
      <c r="C15" s="1" t="s">
        <v>82</v>
      </c>
      <c r="D15" s="2" t="s">
        <v>93</v>
      </c>
      <c r="E15" s="2" t="s">
        <v>94</v>
      </c>
    </row>
    <row r="16" spans="1:10" ht="57" x14ac:dyDescent="0.45">
      <c r="B16" s="3">
        <f t="shared" si="0"/>
        <v>7</v>
      </c>
      <c r="C16" s="1" t="s">
        <v>82</v>
      </c>
      <c r="D16" s="2" t="s">
        <v>93</v>
      </c>
      <c r="E16" s="2" t="s">
        <v>95</v>
      </c>
    </row>
    <row r="17" spans="2:5" ht="71.25" x14ac:dyDescent="0.45">
      <c r="B17" s="3">
        <f t="shared" si="0"/>
        <v>8</v>
      </c>
      <c r="C17" s="1" t="s">
        <v>83</v>
      </c>
      <c r="D17" s="2" t="s">
        <v>96</v>
      </c>
      <c r="E17" s="2" t="s">
        <v>97</v>
      </c>
    </row>
    <row r="18" spans="2:5" ht="57" x14ac:dyDescent="0.45">
      <c r="B18" s="3">
        <f t="shared" si="0"/>
        <v>9</v>
      </c>
      <c r="C18" s="1" t="s">
        <v>84</v>
      </c>
      <c r="D18" s="2" t="s">
        <v>98</v>
      </c>
      <c r="E18" s="2" t="s">
        <v>99</v>
      </c>
    </row>
    <row r="19" spans="2:5" ht="57" x14ac:dyDescent="0.45">
      <c r="B19" s="3">
        <f t="shared" si="0"/>
        <v>10</v>
      </c>
      <c r="C19" s="1" t="s">
        <v>85</v>
      </c>
      <c r="D19" s="1" t="s">
        <v>100</v>
      </c>
      <c r="E19" s="2" t="s">
        <v>101</v>
      </c>
    </row>
    <row r="20" spans="2:5" x14ac:dyDescent="0.45">
      <c r="B20" s="3">
        <f t="shared" si="0"/>
        <v>11</v>
      </c>
      <c r="C20" s="1" t="s">
        <v>102</v>
      </c>
      <c r="D20" s="2"/>
      <c r="E20" s="2" t="s">
        <v>52</v>
      </c>
    </row>
    <row r="21" spans="2:5" x14ac:dyDescent="0.45">
      <c r="B21" s="3">
        <f t="shared" si="0"/>
        <v>12</v>
      </c>
      <c r="C21" s="1" t="s">
        <v>103</v>
      </c>
      <c r="D21" s="1"/>
      <c r="E21" s="2" t="s">
        <v>52</v>
      </c>
    </row>
    <row r="22" spans="2:5" ht="71.25" x14ac:dyDescent="0.45">
      <c r="B22" s="3">
        <f t="shared" si="0"/>
        <v>13</v>
      </c>
      <c r="C22" s="1" t="s">
        <v>105</v>
      </c>
      <c r="D22" s="2" t="s">
        <v>104</v>
      </c>
      <c r="E22" s="2" t="s">
        <v>106</v>
      </c>
    </row>
    <row r="23" spans="2:5" ht="85.5" x14ac:dyDescent="0.45">
      <c r="B23" s="3">
        <f t="shared" si="0"/>
        <v>14</v>
      </c>
      <c r="C23" s="1" t="s">
        <v>105</v>
      </c>
      <c r="D23" s="2" t="s">
        <v>90</v>
      </c>
      <c r="E23" s="2" t="s">
        <v>107</v>
      </c>
    </row>
    <row r="24" spans="2:5" x14ac:dyDescent="0.45">
      <c r="B24" s="3">
        <f t="shared" si="0"/>
        <v>15</v>
      </c>
      <c r="C24" s="1"/>
      <c r="D24" s="2"/>
      <c r="E24" s="2"/>
    </row>
    <row r="25" spans="2:5" x14ac:dyDescent="0.45">
      <c r="B25" s="3">
        <f t="shared" si="0"/>
        <v>16</v>
      </c>
      <c r="C25" s="1"/>
      <c r="D25" s="2"/>
      <c r="E25" s="2"/>
    </row>
    <row r="26" spans="2:5" x14ac:dyDescent="0.45">
      <c r="B26" s="3">
        <f t="shared" si="0"/>
        <v>17</v>
      </c>
      <c r="C26" s="1"/>
      <c r="D26" s="1"/>
      <c r="E26" s="2"/>
    </row>
    <row r="27" spans="2:5" x14ac:dyDescent="0.45">
      <c r="B27" s="3">
        <f t="shared" si="0"/>
        <v>18</v>
      </c>
      <c r="C27" s="1"/>
      <c r="D27" s="2"/>
      <c r="E27" s="1"/>
    </row>
    <row r="28" spans="2:5" x14ac:dyDescent="0.45">
      <c r="B28" s="3">
        <f t="shared" si="0"/>
        <v>19</v>
      </c>
      <c r="C28" s="1"/>
      <c r="D28" s="2"/>
      <c r="E28" s="2"/>
    </row>
    <row r="29" spans="2:5" x14ac:dyDescent="0.45">
      <c r="B29" s="3">
        <f t="shared" si="0"/>
        <v>20</v>
      </c>
      <c r="C29" s="1"/>
      <c r="D29" s="2"/>
      <c r="E29" s="2"/>
    </row>
    <row r="30" spans="2:5" x14ac:dyDescent="0.45">
      <c r="B30" s="3">
        <f t="shared" si="0"/>
        <v>21</v>
      </c>
      <c r="C30" s="1"/>
      <c r="D30" s="2"/>
      <c r="E30" s="2"/>
    </row>
    <row r="32" spans="2:5" x14ac:dyDescent="0.45">
      <c r="C32" s="11" t="s">
        <v>8</v>
      </c>
      <c r="D32" s="12"/>
      <c r="E32" s="1">
        <v>1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zoomScale="70" zoomScaleNormal="70" workbookViewId="0">
      <selection activeCell="E33" sqref="E33"/>
    </sheetView>
  </sheetViews>
  <sheetFormatPr defaultColWidth="8.9296875" defaultRowHeight="14.25" x14ac:dyDescent="0.45"/>
  <cols>
    <col min="1" max="1" width="8.9296875" style="6"/>
    <col min="2" max="2" width="12.265625" style="6" customWidth="1"/>
    <col min="3" max="3" width="25.73046875" style="6" bestFit="1" customWidth="1"/>
    <col min="4" max="4" width="47.86328125" style="6" bestFit="1" customWidth="1"/>
    <col min="5" max="5" width="23.9296875" style="6" customWidth="1"/>
    <col min="6" max="6" width="16.59765625" style="6" customWidth="1"/>
    <col min="7" max="8" width="8.9296875" style="6"/>
    <col min="9" max="9" width="26.73046875" style="6" customWidth="1"/>
    <col min="10" max="16384" width="8.9296875" style="6"/>
  </cols>
  <sheetData>
    <row r="1" spans="1:10" ht="15.75" x14ac:dyDescent="0.5">
      <c r="A1" s="4"/>
      <c r="B1" s="5" t="s">
        <v>3</v>
      </c>
      <c r="H1" s="23" t="s">
        <v>23</v>
      </c>
      <c r="I1" s="23"/>
      <c r="J1" s="23"/>
    </row>
    <row r="2" spans="1:10" x14ac:dyDescent="0.45">
      <c r="B2" s="24" t="s">
        <v>31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45">
      <c r="H3" s="17" t="s">
        <v>20</v>
      </c>
      <c r="I3" s="36" t="s">
        <v>75</v>
      </c>
      <c r="J3" s="36" t="s">
        <v>35</v>
      </c>
    </row>
    <row r="4" spans="1:10" x14ac:dyDescent="0.45">
      <c r="C4" s="16" t="s">
        <v>25</v>
      </c>
      <c r="D4" s="31" t="s">
        <v>109</v>
      </c>
      <c r="E4" s="31"/>
      <c r="H4" s="17" t="s">
        <v>21</v>
      </c>
      <c r="I4" s="36" t="s">
        <v>34</v>
      </c>
      <c r="J4" s="36" t="s">
        <v>36</v>
      </c>
    </row>
    <row r="5" spans="1:10" x14ac:dyDescent="0.45">
      <c r="C5" s="9" t="s">
        <v>2</v>
      </c>
      <c r="D5" s="22" t="s">
        <v>108</v>
      </c>
      <c r="E5" s="22"/>
      <c r="H5" s="17" t="s">
        <v>22</v>
      </c>
      <c r="I5" s="3"/>
      <c r="J5" s="3"/>
    </row>
    <row r="6" spans="1:10" x14ac:dyDescent="0.45">
      <c r="B6" s="8"/>
      <c r="C6" s="9" t="s">
        <v>1</v>
      </c>
      <c r="D6" s="39">
        <v>46206</v>
      </c>
      <c r="E6" s="22"/>
      <c r="F6" s="20"/>
    </row>
    <row r="9" spans="1:10" x14ac:dyDescent="0.45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ht="42.75" x14ac:dyDescent="0.45">
      <c r="B10" s="3">
        <v>1</v>
      </c>
      <c r="C10" s="1" t="s">
        <v>114</v>
      </c>
      <c r="D10" s="2" t="s">
        <v>110</v>
      </c>
      <c r="E10" s="2" t="s">
        <v>111</v>
      </c>
      <c r="F10" s="2" t="s">
        <v>112</v>
      </c>
    </row>
    <row r="11" spans="1:10" ht="28.5" x14ac:dyDescent="0.45">
      <c r="B11" s="3">
        <f>B10+1</f>
        <v>2</v>
      </c>
      <c r="C11" s="1" t="s">
        <v>113</v>
      </c>
      <c r="D11" s="1" t="s">
        <v>115</v>
      </c>
      <c r="E11" s="2" t="s">
        <v>116</v>
      </c>
      <c r="F11" s="2" t="s">
        <v>117</v>
      </c>
    </row>
    <row r="12" spans="1:10" ht="28.5" x14ac:dyDescent="0.45">
      <c r="B12" s="3">
        <f t="shared" ref="B12:B30" si="0">B11+1</f>
        <v>3</v>
      </c>
      <c r="C12" s="1" t="s">
        <v>118</v>
      </c>
      <c r="D12" s="1" t="s">
        <v>119</v>
      </c>
      <c r="E12" s="2" t="s">
        <v>120</v>
      </c>
      <c r="F12" s="2" t="s">
        <v>121</v>
      </c>
    </row>
    <row r="13" spans="1:10" ht="42.75" x14ac:dyDescent="0.45">
      <c r="B13" s="3">
        <f t="shared" si="0"/>
        <v>4</v>
      </c>
      <c r="C13" s="1" t="s">
        <v>122</v>
      </c>
      <c r="D13" s="2" t="s">
        <v>123</v>
      </c>
      <c r="E13" s="2" t="s">
        <v>124</v>
      </c>
      <c r="F13" s="2" t="s">
        <v>125</v>
      </c>
    </row>
    <row r="14" spans="1:10" x14ac:dyDescent="0.45">
      <c r="B14" s="3">
        <f t="shared" si="0"/>
        <v>5</v>
      </c>
      <c r="C14" s="1" t="s">
        <v>126</v>
      </c>
      <c r="D14" s="2" t="s">
        <v>129</v>
      </c>
      <c r="E14" s="2" t="s">
        <v>127</v>
      </c>
      <c r="F14" s="2" t="s">
        <v>128</v>
      </c>
    </row>
    <row r="15" spans="1:10" x14ac:dyDescent="0.45">
      <c r="B15" s="3">
        <f t="shared" si="0"/>
        <v>6</v>
      </c>
      <c r="C15" s="1"/>
      <c r="D15" s="2"/>
      <c r="E15" s="2"/>
      <c r="F15" s="2"/>
    </row>
    <row r="16" spans="1:10" x14ac:dyDescent="0.45">
      <c r="B16" s="3">
        <f t="shared" si="0"/>
        <v>7</v>
      </c>
      <c r="C16" s="1"/>
      <c r="D16" s="2"/>
      <c r="E16" s="2"/>
      <c r="F16" s="2"/>
    </row>
    <row r="17" spans="2:6" x14ac:dyDescent="0.45">
      <c r="B17" s="3">
        <f t="shared" si="0"/>
        <v>8</v>
      </c>
      <c r="C17" s="1"/>
      <c r="D17" s="2"/>
      <c r="E17" s="2"/>
      <c r="F17" s="2"/>
    </row>
    <row r="18" spans="2:6" x14ac:dyDescent="0.45">
      <c r="B18" s="3">
        <f t="shared" si="0"/>
        <v>9</v>
      </c>
      <c r="C18" s="1"/>
      <c r="D18" s="2"/>
      <c r="E18" s="2"/>
      <c r="F18" s="2"/>
    </row>
    <row r="19" spans="2:6" x14ac:dyDescent="0.45">
      <c r="B19" s="3">
        <f t="shared" si="0"/>
        <v>10</v>
      </c>
      <c r="C19" s="1"/>
      <c r="D19" s="1"/>
      <c r="E19" s="2"/>
      <c r="F19" s="2"/>
    </row>
    <row r="20" spans="2:6" x14ac:dyDescent="0.45">
      <c r="B20" s="3">
        <f t="shared" si="0"/>
        <v>11</v>
      </c>
      <c r="C20" s="1"/>
      <c r="D20" s="2"/>
      <c r="E20" s="2"/>
      <c r="F20" s="2"/>
    </row>
    <row r="21" spans="2:6" x14ac:dyDescent="0.45">
      <c r="B21" s="3">
        <f t="shared" si="0"/>
        <v>12</v>
      </c>
      <c r="C21" s="1"/>
      <c r="D21" s="1"/>
      <c r="E21" s="2"/>
      <c r="F21" s="2"/>
    </row>
    <row r="22" spans="2:6" x14ac:dyDescent="0.45">
      <c r="B22" s="3">
        <f t="shared" si="0"/>
        <v>13</v>
      </c>
      <c r="C22" s="1"/>
      <c r="D22" s="2"/>
      <c r="E22" s="2"/>
      <c r="F22" s="2"/>
    </row>
    <row r="23" spans="2:6" x14ac:dyDescent="0.45">
      <c r="B23" s="3">
        <f t="shared" si="0"/>
        <v>14</v>
      </c>
      <c r="C23" s="1"/>
      <c r="D23" s="2"/>
      <c r="E23" s="2"/>
      <c r="F23" s="2"/>
    </row>
    <row r="24" spans="2:6" x14ac:dyDescent="0.45">
      <c r="B24" s="3">
        <f t="shared" si="0"/>
        <v>15</v>
      </c>
      <c r="C24" s="1"/>
      <c r="D24" s="2"/>
      <c r="E24" s="2"/>
      <c r="F24" s="2"/>
    </row>
    <row r="25" spans="2:6" x14ac:dyDescent="0.45">
      <c r="B25" s="3">
        <f t="shared" si="0"/>
        <v>16</v>
      </c>
      <c r="C25" s="1"/>
      <c r="D25" s="2"/>
      <c r="E25" s="2"/>
      <c r="F25" s="2"/>
    </row>
    <row r="26" spans="2:6" x14ac:dyDescent="0.45">
      <c r="B26" s="3">
        <f t="shared" si="0"/>
        <v>17</v>
      </c>
      <c r="C26" s="1"/>
      <c r="D26" s="1"/>
      <c r="E26" s="2"/>
      <c r="F26" s="2"/>
    </row>
    <row r="27" spans="2:6" x14ac:dyDescent="0.45">
      <c r="B27" s="3">
        <f t="shared" si="0"/>
        <v>18</v>
      </c>
      <c r="C27" s="1"/>
      <c r="D27" s="2"/>
      <c r="E27" s="1"/>
      <c r="F27" s="1"/>
    </row>
    <row r="28" spans="2:6" x14ac:dyDescent="0.45">
      <c r="B28" s="3">
        <f t="shared" si="0"/>
        <v>19</v>
      </c>
      <c r="C28" s="1"/>
      <c r="D28" s="2"/>
      <c r="E28" s="2"/>
      <c r="F28" s="2"/>
    </row>
    <row r="29" spans="2:6" x14ac:dyDescent="0.45">
      <c r="B29" s="3">
        <f t="shared" si="0"/>
        <v>20</v>
      </c>
      <c r="C29" s="1"/>
      <c r="D29" s="2"/>
      <c r="E29" s="2"/>
      <c r="F29" s="2"/>
    </row>
    <row r="30" spans="2:6" x14ac:dyDescent="0.45">
      <c r="B30" s="3">
        <f t="shared" si="0"/>
        <v>21</v>
      </c>
      <c r="C30" s="1"/>
      <c r="D30" s="2"/>
      <c r="E30" s="2"/>
      <c r="F30" s="2"/>
    </row>
    <row r="32" spans="2:6" x14ac:dyDescent="0.45">
      <c r="C32" s="34" t="s">
        <v>32</v>
      </c>
      <c r="D32" s="35"/>
      <c r="E32" s="35"/>
      <c r="F32" s="18">
        <v>0.5</v>
      </c>
    </row>
    <row r="35" spans="6:6" x14ac:dyDescent="0.45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BOGDAN TEODORESCU</cp:lastModifiedBy>
  <dcterms:created xsi:type="dcterms:W3CDTF">2015-02-21T15:59:19Z</dcterms:created>
  <dcterms:modified xsi:type="dcterms:W3CDTF">2026-03-07T16:09:42Z</dcterms:modified>
</cp:coreProperties>
</file>