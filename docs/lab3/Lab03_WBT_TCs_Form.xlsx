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 filterPrivacy="1" defaultThemeVersion="124226"/>
  <xr:revisionPtr revIDLastSave="0" documentId="8_{5B304650-C35D-4DEC-88EA-6BA9C9E94E0B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K13" i="4"/>
</calcChain>
</file>

<file path=xl/sharedStrings.xml><?xml version="1.0" encoding="utf-8"?>
<sst xmlns="http://schemas.openxmlformats.org/spreadsheetml/2006/main" count="155" uniqueCount="110">
  <si>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</si>
  <si>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</si>
  <si>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</si>
  <si>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</si>
  <si>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</si>
  <si>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</si>
  <si>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</si>
  <si>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</si>
  <si>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</si>
  <si>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</si>
  <si>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Teodorescu Bogdan</t>
  </si>
  <si>
    <t>Student 2:</t>
  </si>
  <si>
    <t>Alexandru Vladu</t>
  </si>
  <si>
    <t>Student 3:</t>
  </si>
  <si>
    <r>
      <rPr>
        <b/>
        <sz val="11"/>
        <color rgb="FF000000"/>
        <rFont val="Calibri"/>
      </rPr>
      <t>F02.</t>
    </r>
    <r>
      <rPr>
        <sz val="11"/>
        <color rgb="FF000000"/>
        <rFont val="Calibri"/>
      </rPr>
      <t xml:space="preserve"> Genereaz un fisier csv ce contine date despre toate comenzile puse 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</si>
  <si>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</si>
  <si>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</si>
  <si>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</si>
  <si>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</si>
  <si>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S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</si>
  <si>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</si>
  <si>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</si>
  <si>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</si>
  <si>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</si>
  <si>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</si>
  <si>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>…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</si>
  <si>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</si>
  <si>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</si>
  <si>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</si>
  <si>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</si>
  <si>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</si>
  <si>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</si>
  <si>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</si>
  <si>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</si>
  <si>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</si>
  <si>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</si>
  <si>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</si>
  <si>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</si>
  <si>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 → 2 → 3(F)</t>
  </si>
  <si>
    <t>F02_P02</t>
  </si>
  <si>
    <t>1 → 2 → 3(T) → 4 → 5(F) → 10 → 11(F)</t>
  </si>
  <si>
    <t>F02_P03</t>
  </si>
  <si>
    <t>1 → 2 → 3(T) → 4 → 5(F) → 10 → 11(T) → 12 → 13 → 14(F) → 17</t>
  </si>
  <si>
    <t>F02_P04</t>
  </si>
  <si>
    <t>1 → 2 → 3(T) → 4 → 5(T) → 6(F) → 5(reloop) → ... → 5(F) → 10 → 11(T) → 12 → 13 → 14(F) → 17</t>
  </si>
  <si>
    <t>F02_P05</t>
  </si>
  <si>
    <t>1 → 2 → 3(T) → 4 → 5(T) → 6(T) → 7 → 8(T) → 6(reloop) → ... → 6(F) → 5(reloop) → 5(F) → 10 → 11(T) → 12 → 13 → 14(F) → 17</t>
  </si>
  <si>
    <t>F02_P06</t>
  </si>
  <si>
    <t>1 → 2 → 3(T) → 4 → 5(T) → 6(T) → 7 → 8(F) → 9 → 6(reloop) → ... → 6(F) → 5(reloop) → 5(F) → 10 → 11(T) → 12 → 13 → 14(F) → 17</t>
  </si>
  <si>
    <t>F02_P07</t>
  </si>
  <si>
    <t>1 → 2 → 3(T) → 4 → 5(T) → 6(...) → 5(F) → 10 → 11(T) → 12 → 13 → 14(T) → 15 → 16 → 14(reloop) → ... → 14(F) → 17</t>
  </si>
  <si>
    <t>F02. Generarea unui fisier csv ce conține o listă de comenzi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</si>
  <si>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</si>
  <si>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</si>
  <si>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</si>
  <si>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</si>
  <si>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</si>
  <si>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</si>
  <si>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</si>
  <si>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</si>
  <si>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C1:valid path</t>
  </si>
  <si>
    <t>C2:orders.size() &gt; 0</t>
  </si>
  <si>
    <t>C3:order.getItems().size() &gt; 0</t>
  </si>
  <si>
    <t>C4:Product ID found în lista</t>
  </si>
  <si>
    <t>C5: summaryPath valid</t>
  </si>
  <si>
    <t>C6:orders.size() &gt; 0</t>
  </si>
  <si>
    <t>T</t>
  </si>
  <si>
    <t>F</t>
  </si>
  <si>
    <t>F02_TC01</t>
  </si>
  <si>
    <t>[prod1], [order1], "C:/"</t>
  </si>
  <si>
    <t>csv generat</t>
  </si>
  <si>
    <t>1,2,3(T),4,5(T),6(T),7,8(F),9,6(F),5(F),10,11(T),12,13,14(T),15,16,14(reloop),15,16,14(F),17</t>
  </si>
  <si>
    <t>F01_TC02</t>
  </si>
  <si>
    <t>[prod1], [order1], ""</t>
  </si>
  <si>
    <t>RuntimeException</t>
  </si>
  <si>
    <t>1,2,3(F)</t>
  </si>
  <si>
    <t>WBT Implemented TCs</t>
  </si>
  <si>
    <t>Final        TC No.</t>
  </si>
  <si>
    <t>Req. ID</t>
  </si>
  <si>
    <t>TC No</t>
  </si>
  <si>
    <t>input data</t>
  </si>
  <si>
    <t>output data</t>
  </si>
  <si>
    <t>products</t>
  </si>
  <si>
    <t>orders</t>
  </si>
  <si>
    <t>path</t>
  </si>
  <si>
    <t>expected</t>
  </si>
  <si>
    <t>actual result</t>
  </si>
  <si>
    <t>F02</t>
  </si>
  <si>
    <t>product1</t>
  </si>
  <si>
    <t>order1</t>
  </si>
  <si>
    <t>C:/</t>
  </si>
  <si>
    <t>generated csv</t>
  </si>
  <si>
    <t>F02_TC02</t>
  </si>
  <si>
    <t>null</t>
  </si>
  <si>
    <t>Runtime Exception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</si>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</sst>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/>
    <xf numFmtId="0" fontId="0" fillId="0" borderId="0" xfId="0" applyAlignment="1">
      <alignment vertical="center"/>
    </xf>
    <xf numFmtId="0" fontId="10" fillId="0" borderId="0" xfId="0" applyFont="1"/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/>
    <xf numFmtId="0" fontId="0" fillId="2" borderId="7" xfId="0" applyFill="1" applyBorder="1"/>
    <xf numFmtId="0" fontId="0" fillId="7" borderId="7" xfId="0" applyFill="1" applyBorder="1"/>
    <xf numFmtId="0" fontId="0" fillId="2" borderId="9" xfId="0" applyFill="1" applyBorder="1"/>
    <xf numFmtId="0" fontId="0" fillId="0" borderId="7" xfId="0" applyBorder="1"/>
    <xf numFmtId="0" fontId="0" fillId="2" borderId="10" xfId="0" applyFill="1" applyBorder="1"/>
    <xf numFmtId="0" fontId="0" fillId="7" borderId="9" xfId="0" applyFill="1" applyBorder="1"/>
    <xf numFmtId="0" fontId="0" fillId="2" borderId="11" xfId="0" applyFill="1" applyBorder="1"/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/>
    </xf>
    <xf numFmtId="0" fontId="6" fillId="10" borderId="25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1" fillId="8" borderId="10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/>
    </xf>
    <xf numFmtId="0" fontId="11" fillId="0" borderId="1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0" xfId="0" applyFont="1" applyAlignment="1">
      <alignment wrapText="1"/>
    </xf>
    <xf numFmtId="0" fontId="6" fillId="9" borderId="10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78105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11580"/>
          <a:ext cx="444246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6</xdr:row>
      <xdr:rowOff>114300</xdr:rowOff>
    </xdr:from>
    <xdr:to>
      <xdr:col>7</xdr:col>
      <xdr:colOff>514350</xdr:colOff>
      <xdr:row>25</xdr:row>
      <xdr:rowOff>19050</xdr:rowOff>
    </xdr:to>
    <xdr:pic>
      <xdr:nvPicPr>
        <xdr:cNvPr id="2" name="Imagine 1">
          <a:extLst>
            <a:ext uri="{FF2B5EF4-FFF2-40B4-BE49-F238E27FC236}">
              <a16:creationId xmlns:a16="http://schemas.microsoft.com/office/drawing/2014/main" id="{D7BC36C7-EC2B-E2BD-B744-CD9DD04684D0}"/>
            </a:ext>
            <a:ext uri="{147F2762-F138-4A5C-976F-8EAC2B608ADB}">
              <a16:predDERef xmlns:a16="http://schemas.microsoft.com/office/drawing/2014/main" pre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200150"/>
          <a:ext cx="44577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8</xdr:row>
      <xdr:rowOff>85725</xdr:rowOff>
    </xdr:from>
    <xdr:to>
      <xdr:col>15</xdr:col>
      <xdr:colOff>419100</xdr:colOff>
      <xdr:row>27</xdr:row>
      <xdr:rowOff>0</xdr:rowOff>
    </xdr:to>
    <xdr:pic>
      <xdr:nvPicPr>
        <xdr:cNvPr id="4" name="Imagine 3">
          <a:extLst>
            <a:ext uri="{FF2B5EF4-FFF2-40B4-BE49-F238E27FC236}">
              <a16:creationId xmlns:a16="http://schemas.microsoft.com/office/drawing/2014/main" id="{F8A82FF9-039C-3FC7-9611-FECCE9925751}"/>
            </a:ext>
            <a:ext uri="{147F2762-F138-4A5C-976F-8EAC2B608ADB}">
              <a16:predDERef xmlns:a16="http://schemas.microsoft.com/office/drawing/2014/main" pred="{D7BC36C7-EC2B-E2BD-B744-CD9DD046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81550" y="1533525"/>
          <a:ext cx="4572000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1" sqref="B11"/>
    </sheetView>
  </sheetViews>
  <sheetFormatPr defaultColWidth="8.85546875" defaultRowHeight="14.45"/>
  <cols>
    <col min="2" max="2" width="36.5703125" bestFit="1" customWidth="1"/>
    <col min="15" max="15" width="19.5703125" customWidth="1"/>
  </cols>
  <sheetData>
    <row r="1" spans="2:16">
      <c r="B1" s="8"/>
      <c r="D1" s="60" t="s">
        <v>0</v>
      </c>
      <c r="E1" s="61"/>
      <c r="F1" s="61"/>
      <c r="G1" s="62"/>
    </row>
    <row r="2" spans="2:16">
      <c r="B2" s="32" t="s">
        <v>1</v>
      </c>
    </row>
    <row r="4" spans="2:16">
      <c r="B4" s="1" t="s">
        <v>2</v>
      </c>
      <c r="N4" s="4" t="s">
        <v>3</v>
      </c>
      <c r="O4" s="4"/>
      <c r="P4" s="4"/>
    </row>
    <row r="5" spans="2:16">
      <c r="B5" s="1" t="s">
        <v>4</v>
      </c>
      <c r="N5" s="35" t="s">
        <v>5</v>
      </c>
      <c r="O5" s="35"/>
      <c r="P5" s="35"/>
    </row>
    <row r="6" spans="2:16">
      <c r="B6" s="1" t="s">
        <v>6</v>
      </c>
      <c r="N6" s="23"/>
      <c r="O6" s="23" t="s">
        <v>7</v>
      </c>
      <c r="P6" s="23" t="s">
        <v>8</v>
      </c>
    </row>
    <row r="7" spans="2:16">
      <c r="B7" s="1"/>
      <c r="C7" s="1"/>
      <c r="D7" s="1"/>
      <c r="E7" s="1"/>
      <c r="N7" s="23" t="s">
        <v>9</v>
      </c>
      <c r="O7" s="23" t="s">
        <v>10</v>
      </c>
      <c r="P7" s="23">
        <v>237</v>
      </c>
    </row>
    <row r="8" spans="2:16">
      <c r="B8" s="1"/>
      <c r="C8" s="1"/>
      <c r="D8" s="1"/>
      <c r="E8" s="1"/>
      <c r="N8" s="23" t="s">
        <v>11</v>
      </c>
      <c r="O8" s="23" t="s">
        <v>12</v>
      </c>
      <c r="P8" s="23">
        <v>237</v>
      </c>
    </row>
    <row r="9" spans="2:16" ht="15">
      <c r="B9" s="98"/>
      <c r="C9" s="1"/>
      <c r="D9" s="1"/>
      <c r="E9" s="1"/>
      <c r="N9" s="23" t="s">
        <v>13</v>
      </c>
      <c r="O9" s="23"/>
      <c r="P9" s="23"/>
    </row>
    <row r="10" spans="2:16">
      <c r="C10" s="1"/>
      <c r="D10" s="1"/>
      <c r="E10" s="1"/>
    </row>
    <row r="11" spans="2:16" ht="30.75">
      <c r="B11" s="99" t="s">
        <v>14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A1:T24"/>
  <sheetViews>
    <sheetView topLeftCell="I16" zoomScale="90" zoomScaleNormal="90" workbookViewId="0">
      <selection activeCell="Q10" sqref="Q10:S10"/>
    </sheetView>
  </sheetViews>
  <sheetFormatPr defaultColWidth="8.85546875" defaultRowHeight="14.45"/>
  <cols>
    <col min="2" max="2" width="10" customWidth="1"/>
    <col min="17" max="17" width="10.5703125" customWidth="1"/>
    <col min="20" max="20" width="97.42578125" customWidth="1"/>
  </cols>
  <sheetData>
    <row r="1" spans="1:20">
      <c r="B1" s="8"/>
      <c r="D1" s="60" t="s">
        <v>0</v>
      </c>
      <c r="E1" s="61"/>
      <c r="F1" s="61"/>
      <c r="G1" s="61"/>
      <c r="H1" s="61"/>
      <c r="I1" s="62"/>
    </row>
    <row r="3" spans="1:20">
      <c r="B3" s="76" t="s">
        <v>15</v>
      </c>
      <c r="C3" s="77"/>
      <c r="D3" s="77"/>
      <c r="E3" s="77"/>
      <c r="F3" s="77"/>
      <c r="G3" s="77"/>
      <c r="H3" s="77"/>
      <c r="I3" s="77"/>
      <c r="J3" s="77"/>
      <c r="K3" s="78"/>
    </row>
    <row r="6" spans="1:20">
      <c r="B6" s="60" t="s">
        <v>16</v>
      </c>
      <c r="C6" s="61"/>
      <c r="D6" s="61"/>
      <c r="E6" s="62"/>
      <c r="F6" s="27"/>
      <c r="G6" s="27"/>
      <c r="I6" s="60" t="s">
        <v>17</v>
      </c>
      <c r="J6" s="61"/>
      <c r="K6" s="61"/>
      <c r="L6" s="61"/>
      <c r="M6" s="61"/>
      <c r="N6" s="61"/>
      <c r="O6" s="61"/>
      <c r="Q6" s="60" t="s">
        <v>18</v>
      </c>
      <c r="R6" s="61"/>
      <c r="S6" s="61"/>
      <c r="T6" s="61"/>
    </row>
    <row r="8" spans="1:20">
      <c r="A8" t="s">
        <v>19</v>
      </c>
      <c r="B8" s="36" t="s">
        <v>20</v>
      </c>
      <c r="C8" s="88" t="s">
        <v>21</v>
      </c>
      <c r="D8" s="88"/>
      <c r="E8" s="88"/>
      <c r="F8" s="28"/>
      <c r="G8" s="28"/>
      <c r="I8" s="8" t="s">
        <v>22</v>
      </c>
      <c r="Q8" s="75" t="s">
        <v>23</v>
      </c>
      <c r="R8" s="75"/>
      <c r="S8" s="75"/>
      <c r="T8" s="29">
        <v>7</v>
      </c>
    </row>
    <row r="9" spans="1:20">
      <c r="B9" s="35" t="s">
        <v>24</v>
      </c>
      <c r="C9" s="74" t="s">
        <v>25</v>
      </c>
      <c r="D9" s="74"/>
      <c r="E9" s="74"/>
      <c r="F9" s="30"/>
      <c r="G9" s="30"/>
      <c r="I9" s="31"/>
      <c r="Q9" s="75" t="s">
        <v>26</v>
      </c>
      <c r="R9" s="75"/>
      <c r="S9" s="75"/>
      <c r="T9" s="29">
        <v>7</v>
      </c>
    </row>
    <row r="10" spans="1:20">
      <c r="B10" s="35" t="s">
        <v>27</v>
      </c>
      <c r="C10" s="74" t="s">
        <v>25</v>
      </c>
      <c r="D10" s="74"/>
      <c r="E10" s="74"/>
      <c r="F10" s="30"/>
      <c r="G10" s="30"/>
      <c r="I10" s="79" t="s">
        <v>28</v>
      </c>
      <c r="J10" s="80"/>
      <c r="K10" s="80"/>
      <c r="L10" s="80"/>
      <c r="M10" s="80"/>
      <c r="N10" s="80"/>
      <c r="O10" s="81"/>
      <c r="Q10" s="75" t="s">
        <v>29</v>
      </c>
      <c r="R10" s="75" t="s">
        <v>30</v>
      </c>
      <c r="S10" s="75"/>
      <c r="T10" s="29">
        <v>7</v>
      </c>
    </row>
    <row r="11" spans="1:20">
      <c r="B11" s="35" t="s">
        <v>31</v>
      </c>
      <c r="C11" s="74" t="s">
        <v>25</v>
      </c>
      <c r="D11" s="74"/>
      <c r="E11" s="74"/>
      <c r="F11" s="30"/>
      <c r="G11" s="30"/>
      <c r="I11" s="82"/>
      <c r="J11" s="83"/>
      <c r="K11" s="83"/>
      <c r="L11" s="83"/>
      <c r="M11" s="83"/>
      <c r="N11" s="83"/>
      <c r="O11" s="84"/>
    </row>
    <row r="12" spans="1:20">
      <c r="B12" s="35" t="s">
        <v>32</v>
      </c>
      <c r="C12" s="74" t="s">
        <v>25</v>
      </c>
      <c r="D12" s="74"/>
      <c r="E12" s="74"/>
      <c r="F12" s="30"/>
      <c r="G12" s="30"/>
      <c r="I12" s="82"/>
      <c r="J12" s="83"/>
      <c r="K12" s="83"/>
      <c r="L12" s="83"/>
      <c r="M12" s="83"/>
      <c r="N12" s="83"/>
      <c r="O12" s="84"/>
    </row>
    <row r="13" spans="1:20">
      <c r="B13" s="35" t="s">
        <v>33</v>
      </c>
      <c r="C13" s="74" t="s">
        <v>25</v>
      </c>
      <c r="D13" s="74"/>
      <c r="E13" s="74"/>
      <c r="F13" s="30"/>
      <c r="G13" s="30"/>
      <c r="I13" s="82"/>
      <c r="J13" s="83"/>
      <c r="K13" s="83"/>
      <c r="L13" s="83"/>
      <c r="M13" s="83"/>
      <c r="N13" s="83"/>
      <c r="O13" s="84"/>
      <c r="Q13" s="60" t="s">
        <v>34</v>
      </c>
      <c r="R13" s="61"/>
      <c r="S13" s="61"/>
      <c r="T13" s="61"/>
    </row>
    <row r="14" spans="1:20" ht="15">
      <c r="B14" s="35" t="s">
        <v>32</v>
      </c>
      <c r="C14" s="74" t="s">
        <v>25</v>
      </c>
      <c r="D14" s="74"/>
      <c r="E14" s="74"/>
      <c r="F14" s="30"/>
      <c r="G14" s="30"/>
      <c r="I14" s="82"/>
      <c r="J14" s="83"/>
      <c r="K14" s="83"/>
      <c r="L14" s="83"/>
      <c r="M14" s="83"/>
      <c r="N14" s="83"/>
      <c r="O14" s="84"/>
    </row>
    <row r="15" spans="1:20" ht="14.45" customHeight="1">
      <c r="I15" s="82"/>
      <c r="J15" s="83"/>
      <c r="K15" s="83"/>
      <c r="L15" s="83"/>
      <c r="M15" s="83"/>
      <c r="N15" s="83"/>
      <c r="O15" s="84"/>
      <c r="Q15" s="36" t="s">
        <v>35</v>
      </c>
      <c r="R15" s="100" t="s">
        <v>36</v>
      </c>
      <c r="S15" s="101"/>
      <c r="T15" s="102"/>
    </row>
    <row r="16" spans="1:20" ht="15">
      <c r="I16" s="82"/>
      <c r="J16" s="83"/>
      <c r="K16" s="83"/>
      <c r="L16" s="83"/>
      <c r="M16" s="83"/>
      <c r="N16" s="83"/>
      <c r="O16" s="84"/>
      <c r="Q16" s="35" t="s">
        <v>37</v>
      </c>
      <c r="R16" s="73" t="s">
        <v>38</v>
      </c>
      <c r="S16" s="73"/>
      <c r="T16" s="73"/>
    </row>
    <row r="17" spans="9:20" ht="15">
      <c r="I17" s="82"/>
      <c r="J17" s="83"/>
      <c r="K17" s="83"/>
      <c r="L17" s="83"/>
      <c r="M17" s="83"/>
      <c r="N17" s="83"/>
      <c r="O17" s="84"/>
      <c r="Q17" s="35" t="s">
        <v>39</v>
      </c>
      <c r="R17" s="73" t="s">
        <v>40</v>
      </c>
      <c r="S17" s="73"/>
      <c r="T17" s="73"/>
    </row>
    <row r="18" spans="9:20">
      <c r="I18" s="82"/>
      <c r="J18" s="83"/>
      <c r="K18" s="83"/>
      <c r="L18" s="83"/>
      <c r="M18" s="83"/>
      <c r="N18" s="83"/>
      <c r="O18" s="84"/>
      <c r="Q18" s="35" t="s">
        <v>41</v>
      </c>
      <c r="R18" s="73" t="s">
        <v>42</v>
      </c>
      <c r="S18" s="73"/>
      <c r="T18" s="73"/>
    </row>
    <row r="19" spans="9:20">
      <c r="I19" s="82"/>
      <c r="J19" s="83"/>
      <c r="K19" s="83"/>
      <c r="L19" s="83"/>
      <c r="M19" s="83"/>
      <c r="N19" s="83"/>
      <c r="O19" s="84"/>
      <c r="Q19" s="35" t="s">
        <v>43</v>
      </c>
      <c r="R19" s="73" t="s">
        <v>44</v>
      </c>
      <c r="S19" s="73"/>
      <c r="T19" s="73"/>
    </row>
    <row r="20" spans="9:20">
      <c r="I20" s="82"/>
      <c r="J20" s="83"/>
      <c r="K20" s="83"/>
      <c r="L20" s="83"/>
      <c r="M20" s="83"/>
      <c r="N20" s="83"/>
      <c r="O20" s="84"/>
      <c r="Q20" s="35" t="s">
        <v>45</v>
      </c>
      <c r="R20" s="73" t="s">
        <v>46</v>
      </c>
      <c r="S20" s="73"/>
      <c r="T20" s="73"/>
    </row>
    <row r="21" spans="9:20">
      <c r="I21" s="82"/>
      <c r="J21" s="83"/>
      <c r="K21" s="83"/>
      <c r="L21" s="83"/>
      <c r="M21" s="83"/>
      <c r="N21" s="83"/>
      <c r="O21" s="84"/>
      <c r="Q21" s="35" t="s">
        <v>47</v>
      </c>
      <c r="R21" s="73" t="s">
        <v>48</v>
      </c>
      <c r="S21" s="73"/>
      <c r="T21" s="73"/>
    </row>
    <row r="22" spans="9:20">
      <c r="I22" s="82"/>
      <c r="J22" s="83"/>
      <c r="K22" s="83"/>
      <c r="L22" s="83"/>
      <c r="M22" s="83"/>
      <c r="N22" s="83"/>
      <c r="O22" s="84"/>
      <c r="Q22" s="35" t="s">
        <v>49</v>
      </c>
      <c r="R22" s="73" t="s">
        <v>50</v>
      </c>
      <c r="S22" s="73"/>
      <c r="T22" s="73"/>
    </row>
    <row r="23" spans="9:20">
      <c r="I23" s="82"/>
      <c r="J23" s="83"/>
      <c r="K23" s="83"/>
      <c r="L23" s="83"/>
      <c r="M23" s="83"/>
      <c r="N23" s="83"/>
      <c r="O23" s="84"/>
    </row>
    <row r="24" spans="9:20">
      <c r="I24" s="85"/>
      <c r="J24" s="86"/>
      <c r="K24" s="86"/>
      <c r="L24" s="86"/>
      <c r="M24" s="86"/>
      <c r="N24" s="86"/>
      <c r="O24" s="87"/>
    </row>
  </sheetData>
  <mergeCells count="25">
    <mergeCell ref="R22:T22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C15"/>
  <sheetViews>
    <sheetView topLeftCell="A4" workbookViewId="0">
      <selection activeCell="V25" sqref="V25"/>
    </sheetView>
  </sheetViews>
  <sheetFormatPr defaultColWidth="8.85546875" defaultRowHeight="15" customHeight="1"/>
  <cols>
    <col min="2" max="2" width="12.28515625" customWidth="1"/>
    <col min="3" max="3" width="19.85546875" bestFit="1" customWidth="1"/>
    <col min="4" max="4" width="18.140625" bestFit="1" customWidth="1"/>
    <col min="5" max="5" width="19.85546875" bestFit="1" customWidth="1"/>
    <col min="6" max="6" width="12" customWidth="1"/>
    <col min="7" max="7" width="11.42578125" customWidth="1"/>
    <col min="8" max="8" width="15.28515625" customWidth="1"/>
    <col min="9" max="9" width="16.28515625" customWidth="1"/>
    <col min="10" max="10" width="14.5703125" customWidth="1"/>
    <col min="11" max="11" width="13.85546875" customWidth="1"/>
    <col min="12" max="12" width="15.7109375" customWidth="1"/>
    <col min="13" max="13" width="17" customWidth="1"/>
    <col min="14" max="14" width="12.140625" customWidth="1"/>
    <col min="15" max="15" width="11.5703125" customWidth="1"/>
    <col min="17" max="17" width="18.5703125" customWidth="1"/>
    <col min="18" max="19" width="8.85546875" customWidth="1"/>
    <col min="24" max="24" width="9.140625" customWidth="1"/>
    <col min="25" max="26" width="3" customWidth="1"/>
    <col min="27" max="27" width="4" customWidth="1"/>
  </cols>
  <sheetData>
    <row r="1" spans="2:29">
      <c r="B1" s="8"/>
      <c r="D1" s="60" t="s">
        <v>0</v>
      </c>
      <c r="E1" s="61"/>
      <c r="F1" s="61"/>
      <c r="G1" s="62"/>
    </row>
    <row r="3" spans="2:29">
      <c r="B3" s="76" t="s">
        <v>51</v>
      </c>
      <c r="C3" s="77"/>
      <c r="D3" s="77"/>
      <c r="E3" s="77"/>
      <c r="F3" s="78"/>
    </row>
    <row r="5" spans="2:29">
      <c r="B5" s="7"/>
      <c r="AC5" s="98"/>
    </row>
    <row r="6" spans="2:29" ht="15.75">
      <c r="B6" s="95" t="s">
        <v>52</v>
      </c>
      <c r="C6" s="95" t="s">
        <v>53</v>
      </c>
      <c r="D6" s="96" t="s">
        <v>54</v>
      </c>
      <c r="E6" s="95" t="s">
        <v>55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</row>
    <row r="7" spans="2:29" ht="15.75">
      <c r="B7" s="95"/>
      <c r="C7" s="95"/>
      <c r="D7" s="97"/>
      <c r="E7" s="92" t="s">
        <v>56</v>
      </c>
      <c r="F7" s="91" t="s">
        <v>57</v>
      </c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3" t="s">
        <v>58</v>
      </c>
      <c r="S7" s="93"/>
      <c r="T7" s="93"/>
      <c r="U7" s="93"/>
      <c r="V7" s="104"/>
      <c r="W7" s="93"/>
      <c r="X7" s="93"/>
      <c r="Y7" s="94" t="s">
        <v>59</v>
      </c>
      <c r="Z7" s="94"/>
      <c r="AA7" s="94"/>
    </row>
    <row r="8" spans="2:29" ht="15.6" customHeight="1">
      <c r="B8" s="95"/>
      <c r="C8" s="89" t="s">
        <v>25</v>
      </c>
      <c r="D8" s="89" t="s">
        <v>25</v>
      </c>
      <c r="E8" s="92"/>
      <c r="F8" s="91" t="s">
        <v>60</v>
      </c>
      <c r="G8" s="91"/>
      <c r="H8" s="91" t="s">
        <v>61</v>
      </c>
      <c r="I8" s="91"/>
      <c r="J8" s="91" t="s">
        <v>62</v>
      </c>
      <c r="K8" s="91"/>
      <c r="L8" s="91" t="s">
        <v>63</v>
      </c>
      <c r="M8" s="91"/>
      <c r="N8" s="105" t="s">
        <v>64</v>
      </c>
      <c r="O8" s="106"/>
      <c r="P8" s="105" t="s">
        <v>65</v>
      </c>
      <c r="Q8" s="106"/>
      <c r="R8" s="93" t="s">
        <v>37</v>
      </c>
      <c r="S8" s="93" t="s">
        <v>39</v>
      </c>
      <c r="T8" s="93" t="s">
        <v>41</v>
      </c>
      <c r="U8" s="93" t="s">
        <v>43</v>
      </c>
      <c r="V8" s="93" t="s">
        <v>45</v>
      </c>
      <c r="W8" s="93" t="s">
        <v>47</v>
      </c>
      <c r="X8" s="93" t="s">
        <v>49</v>
      </c>
      <c r="Y8" s="94">
        <v>5</v>
      </c>
      <c r="Z8" s="94">
        <v>6</v>
      </c>
      <c r="AA8" s="94">
        <v>14</v>
      </c>
    </row>
    <row r="9" spans="2:29" ht="15.75" customHeight="1">
      <c r="B9" s="95"/>
      <c r="C9" s="90"/>
      <c r="D9" s="90"/>
      <c r="E9" s="92"/>
      <c r="F9" s="37" t="s">
        <v>66</v>
      </c>
      <c r="G9" s="37" t="s">
        <v>67</v>
      </c>
      <c r="H9" s="37" t="s">
        <v>66</v>
      </c>
      <c r="I9" s="37" t="s">
        <v>67</v>
      </c>
      <c r="J9" s="37" t="s">
        <v>66</v>
      </c>
      <c r="K9" s="37" t="s">
        <v>67</v>
      </c>
      <c r="L9" s="37" t="s">
        <v>66</v>
      </c>
      <c r="M9" s="37" t="s">
        <v>67</v>
      </c>
      <c r="N9" s="37" t="s">
        <v>66</v>
      </c>
      <c r="O9" s="37" t="s">
        <v>67</v>
      </c>
      <c r="P9" s="37" t="s">
        <v>66</v>
      </c>
      <c r="Q9" s="37" t="s">
        <v>67</v>
      </c>
      <c r="R9" s="93"/>
      <c r="S9" s="93"/>
      <c r="T9" s="93"/>
      <c r="U9" s="93"/>
      <c r="V9" s="93"/>
      <c r="W9" s="93"/>
      <c r="X9" s="93"/>
      <c r="Y9" s="94"/>
      <c r="Z9" s="94"/>
      <c r="AA9" s="94"/>
    </row>
    <row r="10" spans="2:29" ht="81">
      <c r="B10" s="9" t="s">
        <v>68</v>
      </c>
      <c r="C10" s="9" t="s">
        <v>69</v>
      </c>
      <c r="D10" s="10" t="s">
        <v>70</v>
      </c>
      <c r="E10" s="11" t="s">
        <v>71</v>
      </c>
      <c r="F10" s="12" t="s">
        <v>66</v>
      </c>
      <c r="G10" s="12"/>
      <c r="H10" s="12" t="s">
        <v>66</v>
      </c>
      <c r="I10" s="12"/>
      <c r="J10" s="12" t="s">
        <v>66</v>
      </c>
      <c r="K10" s="12"/>
      <c r="L10" s="12"/>
      <c r="M10" s="12" t="s">
        <v>67</v>
      </c>
      <c r="N10" s="12" t="s">
        <v>66</v>
      </c>
      <c r="O10" s="12"/>
      <c r="P10" s="12" t="s">
        <v>66</v>
      </c>
      <c r="Q10" s="37"/>
      <c r="R10" s="13"/>
      <c r="S10" s="13"/>
      <c r="T10" s="13"/>
      <c r="U10" s="13"/>
      <c r="V10" s="103"/>
      <c r="W10" s="13"/>
      <c r="X10" s="13">
        <v>1</v>
      </c>
      <c r="Y10" s="14">
        <v>1</v>
      </c>
      <c r="Z10" s="14">
        <v>1</v>
      </c>
      <c r="AA10" s="14">
        <v>1</v>
      </c>
    </row>
    <row r="11" spans="2:29" ht="16.5">
      <c r="B11" s="9" t="s">
        <v>72</v>
      </c>
      <c r="C11" s="107" t="s">
        <v>73</v>
      </c>
      <c r="D11" s="10" t="s">
        <v>74</v>
      </c>
      <c r="E11" s="11" t="s">
        <v>75</v>
      </c>
      <c r="F11" s="12"/>
      <c r="G11" s="12" t="s">
        <v>67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>
        <v>1</v>
      </c>
      <c r="S11" s="13"/>
      <c r="T11" s="13"/>
      <c r="U11" s="13"/>
      <c r="V11" s="13"/>
      <c r="W11" s="13"/>
      <c r="X11" s="13"/>
      <c r="Y11" s="14"/>
      <c r="Z11" s="14"/>
      <c r="AA11" s="14"/>
    </row>
    <row r="12" spans="2:29" ht="16.5">
      <c r="B12" s="9" t="s">
        <v>25</v>
      </c>
      <c r="C12" s="15"/>
      <c r="D12" s="16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13"/>
      <c r="T12" s="13"/>
      <c r="U12" s="13"/>
      <c r="V12" s="13"/>
      <c r="W12" s="13"/>
      <c r="X12" s="13"/>
      <c r="Y12" s="14"/>
      <c r="Z12" s="14"/>
      <c r="AA12" s="14"/>
    </row>
    <row r="13" spans="2:29" ht="16.5">
      <c r="B13" s="9" t="s">
        <v>25</v>
      </c>
      <c r="C13" s="9"/>
      <c r="D13" s="10"/>
      <c r="E13" s="11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  <c r="S13" s="13"/>
      <c r="T13" s="13"/>
      <c r="U13" s="13"/>
      <c r="V13" s="13"/>
      <c r="W13" s="13"/>
      <c r="X13" s="13"/>
      <c r="Y13" s="14"/>
      <c r="Z13" s="14"/>
      <c r="AA13" s="14"/>
    </row>
    <row r="14" spans="2:29" ht="16.5">
      <c r="B14" s="9" t="s">
        <v>25</v>
      </c>
      <c r="C14" s="9"/>
      <c r="D14" s="10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  <c r="S14" s="13"/>
      <c r="T14" s="13"/>
      <c r="U14" s="13"/>
      <c r="V14" s="13"/>
      <c r="W14" s="13"/>
      <c r="X14" s="13"/>
      <c r="Y14" s="14"/>
      <c r="Z14" s="14"/>
      <c r="AA14" s="14"/>
    </row>
    <row r="15" spans="2:29" ht="16.5">
      <c r="B15" s="9" t="s">
        <v>25</v>
      </c>
      <c r="C15" s="9"/>
      <c r="D15" s="10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  <c r="S15" s="13"/>
      <c r="T15" s="13"/>
      <c r="U15" s="13"/>
      <c r="V15" s="13"/>
      <c r="W15" s="13"/>
      <c r="X15" s="13"/>
      <c r="Y15" s="14"/>
      <c r="Z15" s="14"/>
      <c r="AA15" s="14"/>
    </row>
  </sheetData>
  <mergeCells count="28">
    <mergeCell ref="D1:G1"/>
    <mergeCell ref="B3:F3"/>
    <mergeCell ref="B6:B9"/>
    <mergeCell ref="C6:C7"/>
    <mergeCell ref="D6:D7"/>
    <mergeCell ref="E6:AA6"/>
    <mergeCell ref="X8:X9"/>
    <mergeCell ref="D8:D9"/>
    <mergeCell ref="F8:G8"/>
    <mergeCell ref="Z8:Z9"/>
    <mergeCell ref="AA8:AA9"/>
    <mergeCell ref="W8:W9"/>
    <mergeCell ref="Y7:AA7"/>
    <mergeCell ref="H8:I8"/>
    <mergeCell ref="J8:K8"/>
    <mergeCell ref="L8:M8"/>
    <mergeCell ref="Y8:Y9"/>
    <mergeCell ref="R8:R9"/>
    <mergeCell ref="S8:S9"/>
    <mergeCell ref="T8:T9"/>
    <mergeCell ref="U8:U9"/>
    <mergeCell ref="V8:V9"/>
    <mergeCell ref="N8:O8"/>
    <mergeCell ref="P8:Q8"/>
    <mergeCell ref="C8:C9"/>
    <mergeCell ref="E7:E9"/>
    <mergeCell ref="F7:Q7"/>
    <mergeCell ref="R7:X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K13"/>
  <sheetViews>
    <sheetView tabSelected="1" workbookViewId="0">
      <selection activeCell="J14" sqref="J14"/>
    </sheetView>
  </sheetViews>
  <sheetFormatPr defaultColWidth="8.85546875" defaultRowHeight="15" customHeight="1"/>
  <cols>
    <col min="3" max="3" width="7.140625" bestFit="1" customWidth="1"/>
    <col min="4" max="4" width="11.28515625" bestFit="1" customWidth="1"/>
    <col min="5" max="5" width="10.28515625" bestFit="1" customWidth="1"/>
    <col min="6" max="6" width="21.7109375" customWidth="1"/>
    <col min="7" max="7" width="10.85546875" bestFit="1" customWidth="1"/>
    <col min="8" max="8" width="17.7109375" customWidth="1"/>
    <col min="9" max="9" width="13.140625" customWidth="1"/>
    <col min="10" max="10" width="16.140625" bestFit="1" customWidth="1"/>
    <col min="12" max="12" width="12.28515625" customWidth="1"/>
  </cols>
  <sheetData>
    <row r="1" spans="2:11">
      <c r="B1" s="8"/>
      <c r="D1" s="60" t="s">
        <v>0</v>
      </c>
      <c r="E1" s="61"/>
      <c r="F1" s="61"/>
      <c r="G1" s="62"/>
    </row>
    <row r="3" spans="2:11">
      <c r="B3" s="63" t="s">
        <v>76</v>
      </c>
      <c r="C3" s="63"/>
      <c r="D3" s="63"/>
      <c r="E3" s="63"/>
      <c r="F3" s="63"/>
      <c r="G3" s="63"/>
      <c r="H3" s="63"/>
      <c r="I3" s="63"/>
    </row>
    <row r="4" spans="2:11">
      <c r="B4" s="64" t="s">
        <v>77</v>
      </c>
      <c r="C4" s="49" t="s">
        <v>78</v>
      </c>
      <c r="D4" s="71" t="s">
        <v>79</v>
      </c>
      <c r="E4" s="66" t="s">
        <v>80</v>
      </c>
      <c r="F4" s="69"/>
      <c r="G4" s="69"/>
      <c r="H4" s="66" t="s">
        <v>81</v>
      </c>
      <c r="I4" s="67"/>
    </row>
    <row r="5" spans="2:11">
      <c r="B5" s="65"/>
      <c r="C5" s="70"/>
      <c r="D5" s="72"/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</row>
    <row r="6" spans="2:11" ht="30.75">
      <c r="B6" s="17">
        <v>9</v>
      </c>
      <c r="C6" s="68" t="s">
        <v>87</v>
      </c>
      <c r="D6" s="33" t="s">
        <v>68</v>
      </c>
      <c r="E6" s="18" t="s">
        <v>88</v>
      </c>
      <c r="F6" s="18" t="s">
        <v>89</v>
      </c>
      <c r="G6" s="18" t="s">
        <v>90</v>
      </c>
      <c r="H6" s="18" t="s">
        <v>91</v>
      </c>
      <c r="I6" s="34" t="s">
        <v>91</v>
      </c>
    </row>
    <row r="7" spans="2:11" ht="30.75">
      <c r="B7" s="17">
        <v>10</v>
      </c>
      <c r="C7" s="68"/>
      <c r="D7" s="33" t="s">
        <v>92</v>
      </c>
      <c r="E7" s="17" t="s">
        <v>88</v>
      </c>
      <c r="F7" s="17" t="s">
        <v>89</v>
      </c>
      <c r="G7" s="17" t="s">
        <v>93</v>
      </c>
      <c r="H7" s="17" t="s">
        <v>94</v>
      </c>
      <c r="I7" s="34" t="s">
        <v>94</v>
      </c>
    </row>
    <row r="8" spans="2:11">
      <c r="B8" s="3"/>
      <c r="C8" s="3"/>
      <c r="D8" s="3"/>
      <c r="E8" s="3"/>
      <c r="F8" s="3"/>
      <c r="G8" s="3"/>
      <c r="H8" s="3"/>
      <c r="I8" s="3"/>
    </row>
    <row r="9" spans="2:11">
      <c r="B9" s="3" t="s">
        <v>95</v>
      </c>
      <c r="H9" s="19"/>
    </row>
    <row r="10" spans="2:11">
      <c r="B10" s="52" t="s">
        <v>96</v>
      </c>
      <c r="C10" s="53"/>
      <c r="D10" s="53"/>
      <c r="E10" s="53"/>
      <c r="F10" s="46" t="s">
        <v>97</v>
      </c>
      <c r="G10" s="47"/>
      <c r="H10" s="53"/>
      <c r="I10" s="54"/>
      <c r="J10" s="58" t="s">
        <v>98</v>
      </c>
      <c r="K10" s="59"/>
    </row>
    <row r="11" spans="2:11" ht="123.75" customHeight="1">
      <c r="B11" s="38" t="s">
        <v>99</v>
      </c>
      <c r="C11" s="40" t="s">
        <v>100</v>
      </c>
      <c r="D11" s="40" t="s">
        <v>101</v>
      </c>
      <c r="E11" s="42" t="s">
        <v>102</v>
      </c>
      <c r="F11" s="44" t="s">
        <v>103</v>
      </c>
      <c r="G11" s="48" t="s">
        <v>104</v>
      </c>
      <c r="H11" s="50" t="s">
        <v>105</v>
      </c>
      <c r="I11" s="55" t="s">
        <v>106</v>
      </c>
      <c r="J11" s="57" t="s">
        <v>107</v>
      </c>
      <c r="K11" s="49" t="s">
        <v>108</v>
      </c>
    </row>
    <row r="12" spans="2:11" ht="14.45" customHeight="1">
      <c r="B12" s="39"/>
      <c r="C12" s="41"/>
      <c r="D12" s="41"/>
      <c r="E12" s="43"/>
      <c r="F12" s="45"/>
      <c r="G12" s="48"/>
      <c r="H12" s="51"/>
      <c r="I12" s="56"/>
      <c r="J12" s="38"/>
      <c r="K12" s="44"/>
    </row>
    <row r="13" spans="2:11">
      <c r="B13" s="23">
        <f>SUM(C13:D13)</f>
        <v>2</v>
      </c>
      <c r="C13" s="20">
        <v>2</v>
      </c>
      <c r="D13" s="20">
        <v>0</v>
      </c>
      <c r="E13" s="21">
        <v>95</v>
      </c>
      <c r="F13" s="22">
        <v>0</v>
      </c>
      <c r="G13" s="6" t="s">
        <v>109</v>
      </c>
      <c r="H13" s="24">
        <v>0</v>
      </c>
      <c r="I13" s="25">
        <v>95</v>
      </c>
      <c r="J13" s="5" t="s">
        <v>109</v>
      </c>
      <c r="K13" s="26">
        <f>C13</f>
        <v>2</v>
      </c>
    </row>
  </sheetData>
  <mergeCells count="22">
    <mergeCell ref="B10:E10"/>
    <mergeCell ref="D1:G1"/>
    <mergeCell ref="B3:I3"/>
    <mergeCell ref="B4:B5"/>
    <mergeCell ref="H4:I4"/>
    <mergeCell ref="C6:C7"/>
    <mergeCell ref="E4:G4"/>
    <mergeCell ref="C4:C5"/>
    <mergeCell ref="D4:D5"/>
    <mergeCell ref="F10:G10"/>
    <mergeCell ref="G11:G12"/>
    <mergeCell ref="K11:K12"/>
    <mergeCell ref="H11:H12"/>
    <mergeCell ref="H10:I10"/>
    <mergeCell ref="I11:I12"/>
    <mergeCell ref="J11:J12"/>
    <mergeCell ref="J10:K10"/>
    <mergeCell ref="B11:B12"/>
    <mergeCell ref="C11:C12"/>
    <mergeCell ref="D11:D12"/>
    <mergeCell ref="E11:E12"/>
    <mergeCell ref="F11:F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4B7F00-F329-4E8F-A3EE-411E39CDE676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FA2F5940-EC19-4D08-A8C2-FA31EF734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2026-04-04T14:26:27Z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